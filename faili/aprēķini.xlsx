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se4\Downloads\202425_datorika10\Izklājlapas\"/>
    </mc:Choice>
  </mc:AlternateContent>
  <xr:revisionPtr revIDLastSave="0" documentId="8_{991A7241-6997-4925-8FF9-A5BFF711A492}" xr6:coauthVersionLast="47" xr6:coauthVersionMax="47" xr10:uidLastSave="{00000000-0000-0000-0000-000000000000}"/>
  <bookViews>
    <workbookView xWindow="13065" yWindow="2220" windowWidth="14205" windowHeight="12270" firstSheet="1" activeTab="5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8" l="1"/>
  <c r="F7" i="8"/>
  <c r="F16" i="8"/>
  <c r="F15" i="8"/>
  <c r="F14" i="8"/>
  <c r="F13" i="8"/>
  <c r="F12" i="8"/>
  <c r="F11" i="8"/>
  <c r="B5" i="4"/>
  <c r="B6" i="4"/>
  <c r="B7" i="4"/>
  <c r="B8" i="4"/>
  <c r="B9" i="4"/>
  <c r="B10" i="4"/>
  <c r="B11" i="4"/>
  <c r="B12" i="4"/>
  <c r="B13" i="4"/>
  <c r="B4" i="4"/>
  <c r="E5" i="5"/>
  <c r="E6" i="5"/>
  <c r="E7" i="5"/>
  <c r="E8" i="5"/>
  <c r="E9" i="5"/>
  <c r="E10" i="5"/>
  <c r="E11" i="5"/>
  <c r="E12" i="5"/>
  <c r="E13" i="5"/>
  <c r="E14" i="5"/>
  <c r="E15" i="5"/>
  <c r="E4" i="5"/>
  <c r="G6" i="6"/>
  <c r="G7" i="6"/>
  <c r="G8" i="6"/>
  <c r="G5" i="6"/>
  <c r="F6" i="6"/>
  <c r="F7" i="6"/>
  <c r="F8" i="6"/>
  <c r="F5" i="6"/>
  <c r="E6" i="6"/>
  <c r="E7" i="6"/>
  <c r="E8" i="6"/>
  <c r="E5" i="6"/>
  <c r="D5" i="6"/>
  <c r="D6" i="6"/>
  <c r="D7" i="6"/>
  <c r="D8" i="6"/>
  <c r="C9" i="7"/>
  <c r="D9" i="7"/>
  <c r="E9" i="7"/>
  <c r="F9" i="7"/>
  <c r="G9" i="7"/>
  <c r="H9" i="7"/>
  <c r="I9" i="7"/>
  <c r="J9" i="7"/>
  <c r="K9" i="7"/>
  <c r="C10" i="7"/>
  <c r="D10" i="7"/>
  <c r="E10" i="7"/>
  <c r="F10" i="7"/>
  <c r="G10" i="7"/>
  <c r="H10" i="7"/>
  <c r="I10" i="7"/>
  <c r="J10" i="7"/>
  <c r="K10" i="7"/>
  <c r="C11" i="7"/>
  <c r="D11" i="7"/>
  <c r="E11" i="7"/>
  <c r="F11" i="7"/>
  <c r="G11" i="7"/>
  <c r="H11" i="7"/>
  <c r="I11" i="7"/>
  <c r="J11" i="7"/>
  <c r="K11" i="7"/>
  <c r="C12" i="7"/>
  <c r="D12" i="7"/>
  <c r="E12" i="7"/>
  <c r="F12" i="7"/>
  <c r="G12" i="7"/>
  <c r="H12" i="7"/>
  <c r="I12" i="7"/>
  <c r="J12" i="7"/>
  <c r="K12" i="7"/>
  <c r="C13" i="7"/>
  <c r="D13" i="7"/>
  <c r="E13" i="7"/>
  <c r="F13" i="7"/>
  <c r="G13" i="7"/>
  <c r="H13" i="7"/>
  <c r="I13" i="7"/>
  <c r="J13" i="7"/>
  <c r="K13" i="7"/>
  <c r="C14" i="7"/>
  <c r="D14" i="7"/>
  <c r="E14" i="7"/>
  <c r="F14" i="7"/>
  <c r="G14" i="7"/>
  <c r="H14" i="7"/>
  <c r="I14" i="7"/>
  <c r="J14" i="7"/>
  <c r="K14" i="7"/>
  <c r="C15" i="7"/>
  <c r="D15" i="7"/>
  <c r="E15" i="7"/>
  <c r="F15" i="7"/>
  <c r="G15" i="7"/>
  <c r="H15" i="7"/>
  <c r="I15" i="7"/>
  <c r="J15" i="7"/>
  <c r="K15" i="7"/>
  <c r="C16" i="7"/>
  <c r="D16" i="7"/>
  <c r="E16" i="7"/>
  <c r="F16" i="7"/>
  <c r="G16" i="7"/>
  <c r="H16" i="7"/>
  <c r="I16" i="7"/>
  <c r="J16" i="7"/>
  <c r="K16" i="7"/>
  <c r="C17" i="7"/>
  <c r="D17" i="7"/>
  <c r="E17" i="7"/>
  <c r="F17" i="7"/>
  <c r="G17" i="7"/>
  <c r="H17" i="7"/>
  <c r="I17" i="7"/>
  <c r="J17" i="7"/>
  <c r="K17" i="7"/>
  <c r="C18" i="7"/>
  <c r="D18" i="7"/>
  <c r="E18" i="7"/>
  <c r="F18" i="7"/>
  <c r="G18" i="7"/>
  <c r="H18" i="7"/>
  <c r="I18" i="7"/>
  <c r="J18" i="7"/>
  <c r="K18" i="7"/>
  <c r="B10" i="7"/>
  <c r="B11" i="7"/>
  <c r="B12" i="7"/>
  <c r="B13" i="7"/>
  <c r="B14" i="7"/>
  <c r="B15" i="7"/>
  <c r="B16" i="7"/>
  <c r="B17" i="7"/>
  <c r="B18" i="7"/>
  <c r="B9" i="7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<sst xmlns="http://schemas.openxmlformats.org/spreadsheetml/2006/main" count="54" uniqueCount="52">
  <si>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Preces cena ir 3,20 eiro.  Ja pēr 3 vai vairāk vienādas preces, par katru preci jāmaksā tikai 2,90 eiro. Uzrakstīt formulu kas aprēķina maksu par pirkumu</t>
  </si>
  <si>
    <t>Daudzums</t>
  </si>
  <si>
    <t>Maksa (ja pērk 3 un vairāk, jāmaksā mazāk)</t>
  </si>
  <si>
    <t>Dots:</t>
  </si>
  <si>
    <t>leņķis grādos starp trijstūra malām a un b:</t>
  </si>
  <si>
    <t xml:space="preserve">  malu a un b garumi</t>
  </si>
  <si>
    <t>Aprēķināt:</t>
  </si>
  <si>
    <t>visus iespējamos malas c garumus pēc kosinusu teorēmas</t>
  </si>
  <si>
    <t xml:space="preserve">       b   a</t>
  </si>
  <si>
    <t>Šūnu apgabalu D5:F8 aizpildīt ar formulām, kas nosaka vai ir spēkā visas trijstūra nevienādibas. Izveidotās fomulas izmantot, lai G kolonnā noskaidrotu, var vai nevar konstruēt trijstūri</t>
  </si>
  <si>
    <t>Nogriežņu garumi</t>
  </si>
  <si>
    <t>Trijstūra nevienādības</t>
  </si>
  <si>
    <t>vai var konstruēt trijstūri?</t>
  </si>
  <si>
    <t>a</t>
  </si>
  <si>
    <t>b</t>
  </si>
  <si>
    <t>c</t>
  </si>
  <si>
    <t>a+b&gt;c</t>
  </si>
  <si>
    <t>a+c&gt;b</t>
  </si>
  <si>
    <t>b+c&gt;a</t>
  </si>
  <si>
    <t>jā/nē</t>
  </si>
  <si>
    <t>E kolonnā jāievada formula, kas atrod A kolonnā dotā personvārda locījumu vokatīvā, izmantojot datus no C un D kolonnām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</si>
  <si>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</si>
  <si>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</si>
  <si>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</si>
  <si>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</si>
  <si>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</si>
  <si>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</si>
  <si>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</si>
  <si>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</si>
  <si>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</si>
  <si>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</si>
  <si>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</si>
  <si>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</si>
  <si>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</si>
  <si>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</si>
  <si>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</si>
  <si>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</si>
  <si>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</si>
  <si>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 xml:space="preserve">B kolonnā jāivada fomula, kas atkarībā no A kolonnas atbilstošās šūnas vērtības parāda tekstu "cents" vai "centi". A kolonnas vērtības vienmēr būs intervālā [1;99]. </t>
  </si>
  <si>
    <t>Summa centos</t>
  </si>
  <si>
    <t>Apzīmējums (Centi vai cents)</t>
  </si>
  <si>
    <t xml:space="preserve">Zināms, ka visi trijstūri zaļajā figūrā ir taisnleņķa vienādsānu trijstūri. </t>
  </si>
  <si>
    <t>Aprēķināt</t>
  </si>
  <si>
    <t>zaļās figūras tilpumu</t>
  </si>
  <si>
    <t>zaļās figūras virsmas laukumu</t>
  </si>
  <si>
    <t>palīgdarbības:</t>
  </si>
  <si>
    <t>mazā trijstūra katetes garums</t>
  </si>
  <si>
    <t>lielā trijstūra katetes garums</t>
  </si>
  <si>
    <t>mazā trijstūra laukums</t>
  </si>
  <si>
    <t>lielā trijstūra laukums</t>
  </si>
  <si>
    <t>mazās trijstūrveida figūras (cauruma) tilpums</t>
  </si>
  <si>
    <t>lielās trijstūrveida figūras tilpums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</si>
</sst>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.00\ _L_s_-;\-* #,##0.00\ _L_s_-;_-* &quot;-&quot;??\ _L_s_-;_-@_-"/>
    <numFmt numFmtId="166" formatCode="\ #,##0.00\ ;\-#,##0.00\ ;&quot; -&quot;#\ ;@\ "/>
    <numFmt numFmtId="167" formatCode="\ #,##0\ ;\-#,##0\ ;&quot; -&quot;#\ ;@\ "/>
  </numFmts>
  <fonts count="13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6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7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164" fontId="2" fillId="0" borderId="1" xfId="1" applyFont="1" applyBorder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2" fillId="0" borderId="0" xfId="1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164" fontId="2" fillId="0" borderId="0" xfId="1" applyFont="1" applyBorder="1" applyAlignment="1">
      <alignment horizontal="center" vertical="center" wrapText="1"/>
    </xf>
    <xf numFmtId="164" fontId="2" fillId="0" borderId="0" xfId="1" applyFont="1" applyBorder="1" applyAlignment="1">
      <alignment horizontal="left" vertical="center" wrapText="1"/>
    </xf>
    <xf numFmtId="164" fontId="2" fillId="0" borderId="12" xfId="1" applyFont="1" applyBorder="1" applyAlignment="1">
      <alignment horizontal="left" vertical="center" wrapText="1"/>
    </xf>
    <xf numFmtId="43" fontId="0" fillId="3" borderId="2" xfId="0" applyNumberFormat="1" applyFill="1" applyBorder="1"/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D5" sqref="D5"/>
    </sheetView>
  </sheetViews>
  <sheetFormatPr defaultColWidth="8.85546875" defaultRowHeight="18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>
      <c r="A1" s="35" t="s">
        <v>0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/>
    <row r="3" spans="1:22" ht="26.45" customHeight="1">
      <c r="A3" s="2" t="s">
        <v>1</v>
      </c>
      <c r="B3" s="2" t="s">
        <v>2</v>
      </c>
    </row>
    <row r="4" spans="1:22">
      <c r="A4" s="4">
        <v>1</v>
      </c>
      <c r="B4" s="24">
        <f>IF(A4&gt;=3,A4*2.9,A4*3.2)</f>
        <v>3.2</v>
      </c>
    </row>
    <row r="5" spans="1:22">
      <c r="A5" s="4">
        <v>2</v>
      </c>
      <c r="B5" s="24">
        <f t="shared" ref="B5:B7" si="0">IF(A5&gt;=3,A5*2.9,A5*3.2)</f>
        <v>6.4</v>
      </c>
    </row>
    <row r="6" spans="1:22">
      <c r="A6" s="4">
        <v>3</v>
      </c>
      <c r="B6" s="24">
        <f t="shared" si="0"/>
        <v>8.6999999999999993</v>
      </c>
    </row>
    <row r="7" spans="1:22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I20" sqref="I20"/>
    </sheetView>
  </sheetViews>
  <sheetFormatPr defaultRowHeight="15"/>
  <cols>
    <col min="1" max="1" width="6.28515625" customWidth="1"/>
  </cols>
  <sheetData>
    <row r="1" spans="1:13" ht="20.25" customHeight="1">
      <c r="A1" s="30" t="s">
        <v>3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>
      <c r="A2" s="37" t="s">
        <v>4</v>
      </c>
      <c r="B2" s="37"/>
      <c r="C2" s="37"/>
      <c r="D2" s="37"/>
      <c r="E2" s="37"/>
      <c r="F2" s="37"/>
      <c r="G2" s="30">
        <v>24</v>
      </c>
      <c r="H2" s="30"/>
      <c r="I2" s="29"/>
      <c r="J2" s="29"/>
      <c r="K2" s="29"/>
      <c r="L2" s="29"/>
      <c r="M2" s="29"/>
    </row>
    <row r="3" spans="1:13" ht="20.25" customHeight="1">
      <c r="A3" s="38" t="s">
        <v>5</v>
      </c>
      <c r="B3" s="38"/>
      <c r="C3" s="38"/>
      <c r="D3" s="38"/>
      <c r="E3" s="38"/>
      <c r="F3" s="30"/>
      <c r="G3" s="30"/>
      <c r="H3" s="30"/>
      <c r="I3" s="29"/>
      <c r="J3" s="29"/>
      <c r="K3" s="29"/>
      <c r="L3" s="29"/>
      <c r="M3" s="29"/>
    </row>
    <row r="4" spans="1:13" ht="20.25" customHeight="1">
      <c r="A4" s="38" t="s">
        <v>6</v>
      </c>
      <c r="B4" s="38"/>
      <c r="C4" s="38"/>
      <c r="D4" s="38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>
      <c r="A5" s="39" t="s">
        <v>7</v>
      </c>
      <c r="B5" s="39"/>
      <c r="C5" s="39"/>
      <c r="D5" s="39"/>
      <c r="E5" s="39"/>
      <c r="F5" s="39"/>
      <c r="G5" s="39"/>
      <c r="H5" s="39"/>
      <c r="I5" s="25"/>
      <c r="J5" s="25"/>
      <c r="K5" s="25"/>
      <c r="L5" s="25"/>
      <c r="M5" s="25"/>
    </row>
    <row r="6" spans="1:13" ht="20.25" customHeight="1" thickTop="1"/>
    <row r="7" spans="1:13" ht="20.25" customHeight="1"/>
    <row r="8" spans="1:13" ht="30.75" customHeight="1">
      <c r="A8" s="26" t="s">
        <v>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>
      <c r="A9" s="28">
        <v>2</v>
      </c>
      <c r="B9" s="31">
        <f>SQRT(B$8^2+$A9^2-2*B$8*$A9*COS(RADIANS(24)))</f>
        <v>1.160094034735804</v>
      </c>
      <c r="C9" s="31">
        <f t="shared" ref="C9:K9" si="0">SQRT(C$8^2+$A9^2-2*C$8*$A9*COS(RADIANS(24)))</f>
        <v>1.4273943072216553</v>
      </c>
      <c r="D9" s="31">
        <f t="shared" si="0"/>
        <v>3.275529094230119</v>
      </c>
      <c r="E9" s="31">
        <f t="shared" si="0"/>
        <v>5.2364804197100918</v>
      </c>
      <c r="F9" s="31">
        <f t="shared" si="0"/>
        <v>7.2188893553555982</v>
      </c>
      <c r="G9" s="31">
        <f t="shared" si="0"/>
        <v>9.2089087227383004</v>
      </c>
      <c r="H9" s="31">
        <f t="shared" si="0"/>
        <v>11.202483483700602</v>
      </c>
      <c r="I9" s="31">
        <f t="shared" si="0"/>
        <v>13.198002596659993</v>
      </c>
      <c r="J9" s="31">
        <f t="shared" si="0"/>
        <v>15.194700026005881</v>
      </c>
      <c r="K9" s="31">
        <f t="shared" si="0"/>
        <v>17.192165227776353</v>
      </c>
    </row>
    <row r="10" spans="1:13">
      <c r="A10" s="28">
        <v>4</v>
      </c>
      <c r="B10" s="31">
        <f t="shared" ref="B10:K18" si="1">SQRT(B$8^2+$A10^2-2*B$8*$A10*COS(RADIANS(24)))</f>
        <v>3.1131393060477062</v>
      </c>
      <c r="C10" s="31">
        <f t="shared" si="1"/>
        <v>1.7535418491092758</v>
      </c>
      <c r="D10" s="31">
        <f t="shared" si="1"/>
        <v>2.1114406679554047</v>
      </c>
      <c r="E10" s="31">
        <f t="shared" si="1"/>
        <v>3.7204105112224317</v>
      </c>
      <c r="F10" s="31">
        <f t="shared" si="1"/>
        <v>5.5879090051407188</v>
      </c>
      <c r="G10" s="31">
        <f t="shared" si="1"/>
        <v>7.5238287944005693</v>
      </c>
      <c r="H10" s="31">
        <f t="shared" si="1"/>
        <v>9.4863729847170521</v>
      </c>
      <c r="I10" s="31">
        <f t="shared" si="1"/>
        <v>11.461873541567622</v>
      </c>
      <c r="J10" s="31">
        <f t="shared" si="1"/>
        <v>13.444620402250347</v>
      </c>
      <c r="K10" s="31">
        <f t="shared" si="1"/>
        <v>15.431820710412776</v>
      </c>
    </row>
    <row r="11" spans="1:13">
      <c r="A11" s="28">
        <v>6</v>
      </c>
      <c r="B11" s="31">
        <f t="shared" si="1"/>
        <v>5.1026909085588157</v>
      </c>
      <c r="C11" s="31">
        <f t="shared" si="1"/>
        <v>3.4802821042074115</v>
      </c>
      <c r="D11" s="31">
        <f t="shared" si="1"/>
        <v>2.487422871456308</v>
      </c>
      <c r="E11" s="31">
        <f t="shared" si="1"/>
        <v>2.8744010781415881</v>
      </c>
      <c r="F11" s="31">
        <f t="shared" si="1"/>
        <v>4.2821829216649654</v>
      </c>
      <c r="G11" s="31">
        <f t="shared" si="1"/>
        <v>6.0342356260902408</v>
      </c>
      <c r="H11" s="31">
        <f t="shared" si="1"/>
        <v>7.9048661347143794</v>
      </c>
      <c r="I11" s="31">
        <f t="shared" si="1"/>
        <v>9.8265872826903564</v>
      </c>
      <c r="J11" s="31">
        <f t="shared" si="1"/>
        <v>11.774409821341765</v>
      </c>
      <c r="K11" s="31">
        <f t="shared" si="1"/>
        <v>13.737235371700049</v>
      </c>
    </row>
    <row r="12" spans="1:13">
      <c r="A12" s="28">
        <v>8</v>
      </c>
      <c r="B12" s="31">
        <f t="shared" si="1"/>
        <v>7.0981175446535394</v>
      </c>
      <c r="C12" s="31">
        <f t="shared" si="1"/>
        <v>5.39905714297924</v>
      </c>
      <c r="D12" s="31">
        <f t="shared" si="1"/>
        <v>3.9895317254775571</v>
      </c>
      <c r="E12" s="31">
        <f t="shared" si="1"/>
        <v>3.2684719279854169</v>
      </c>
      <c r="F12" s="31">
        <f t="shared" si="1"/>
        <v>3.6673497378168705</v>
      </c>
      <c r="G12" s="31">
        <f t="shared" si="1"/>
        <v>4.9209754576610374</v>
      </c>
      <c r="H12" s="31">
        <f t="shared" si="1"/>
        <v>6.5561074434712419</v>
      </c>
      <c r="I12" s="31">
        <f t="shared" si="1"/>
        <v>8.3515920737171889</v>
      </c>
      <c r="J12" s="31">
        <f t="shared" si="1"/>
        <v>10.223288879867015</v>
      </c>
      <c r="K12" s="31">
        <f t="shared" si="1"/>
        <v>12.1359870169941</v>
      </c>
    </row>
    <row r="13" spans="1:13">
      <c r="A13" s="28">
        <v>10</v>
      </c>
      <c r="B13" s="31">
        <f t="shared" si="1"/>
        <v>9.095553355741913</v>
      </c>
      <c r="C13" s="31">
        <f t="shared" si="1"/>
        <v>7.3612004823563897</v>
      </c>
      <c r="D13" s="31">
        <f t="shared" si="1"/>
        <v>5.8004701736790203</v>
      </c>
      <c r="E13" s="31">
        <f t="shared" si="1"/>
        <v>4.5938693853913479</v>
      </c>
      <c r="F13" s="31">
        <f t="shared" si="1"/>
        <v>4.0696213121532372</v>
      </c>
      <c r="G13" s="31">
        <f t="shared" si="1"/>
        <v>4.4743713880977527</v>
      </c>
      <c r="H13" s="31">
        <f t="shared" si="1"/>
        <v>5.6105419535837875</v>
      </c>
      <c r="I13" s="31">
        <f t="shared" si="1"/>
        <v>7.1369715361082786</v>
      </c>
      <c r="J13" s="31">
        <f t="shared" si="1"/>
        <v>8.8540693695902171</v>
      </c>
      <c r="K13" s="31">
        <f t="shared" si="1"/>
        <v>10.67017929070602</v>
      </c>
    </row>
    <row r="14" spans="1:13">
      <c r="A14" s="28">
        <v>12</v>
      </c>
      <c r="B14" s="31">
        <f t="shared" si="1"/>
        <v>11.093913151660129</v>
      </c>
      <c r="C14" s="31">
        <f t="shared" si="1"/>
        <v>9.3394179181431181</v>
      </c>
      <c r="D14" s="31">
        <f t="shared" si="1"/>
        <v>7.7054879847345097</v>
      </c>
      <c r="E14" s="31">
        <f t="shared" si="1"/>
        <v>6.2868404716553012</v>
      </c>
      <c r="F14" s="31">
        <f t="shared" si="1"/>
        <v>5.2606255473278276</v>
      </c>
      <c r="G14" s="31">
        <f t="shared" si="1"/>
        <v>4.8809834236917213</v>
      </c>
      <c r="H14" s="31">
        <f t="shared" si="1"/>
        <v>5.2890280029045522</v>
      </c>
      <c r="I14" s="31">
        <f t="shared" si="1"/>
        <v>6.3343220038662125</v>
      </c>
      <c r="J14" s="31">
        <f t="shared" si="1"/>
        <v>7.7635979598262832</v>
      </c>
      <c r="K14" s="31">
        <f t="shared" si="1"/>
        <v>9.4033648932163629</v>
      </c>
    </row>
    <row r="15" spans="1:13">
      <c r="A15" s="28">
        <v>14</v>
      </c>
      <c r="B15" s="31">
        <f t="shared" si="1"/>
        <v>13.092773853771675</v>
      </c>
      <c r="C15" s="31">
        <f t="shared" si="1"/>
        <v>11.325289469060891</v>
      </c>
      <c r="D15" s="31">
        <f t="shared" si="1"/>
        <v>9.649022537544198</v>
      </c>
      <c r="E15" s="31">
        <f t="shared" si="1"/>
        <v>8.1206582431506273</v>
      </c>
      <c r="F15" s="31">
        <f t="shared" si="1"/>
        <v>6.8400690547731005</v>
      </c>
      <c r="G15" s="31">
        <f t="shared" si="1"/>
        <v>5.9689194203037212</v>
      </c>
      <c r="H15" s="31">
        <f t="shared" si="1"/>
        <v>5.6981973832163169</v>
      </c>
      <c r="I15" s="31">
        <f t="shared" si="1"/>
        <v>6.1082655304192244</v>
      </c>
      <c r="J15" s="31">
        <f t="shared" si="1"/>
        <v>7.0818332486808782</v>
      </c>
      <c r="K15" s="31">
        <f t="shared" si="1"/>
        <v>8.4257828439935682</v>
      </c>
    </row>
    <row r="16" spans="1:13">
      <c r="A16" s="28">
        <v>16</v>
      </c>
      <c r="B16" s="31">
        <f t="shared" si="1"/>
        <v>15.091936434912412</v>
      </c>
      <c r="C16" s="31">
        <f t="shared" si="1"/>
        <v>13.315390946807019</v>
      </c>
      <c r="D16" s="31">
        <f t="shared" si="1"/>
        <v>11.611749514056177</v>
      </c>
      <c r="E16" s="31">
        <f t="shared" si="1"/>
        <v>10.01827417712539</v>
      </c>
      <c r="F16" s="31">
        <f t="shared" si="1"/>
        <v>8.5964474173306584</v>
      </c>
      <c r="G16" s="31">
        <f t="shared" si="1"/>
        <v>7.4452668796897079</v>
      </c>
      <c r="H16" s="31">
        <f t="shared" si="1"/>
        <v>6.7056013615989762</v>
      </c>
      <c r="I16" s="31">
        <f t="shared" si="1"/>
        <v>6.5190628415096263</v>
      </c>
      <c r="J16" s="31">
        <f t="shared" si="1"/>
        <v>6.930459655926521</v>
      </c>
      <c r="K16" s="31">
        <f t="shared" si="1"/>
        <v>7.8462960531258776</v>
      </c>
    </row>
    <row r="17" spans="1:11">
      <c r="A17" s="28">
        <v>18</v>
      </c>
      <c r="B17" s="31">
        <f t="shared" si="1"/>
        <v>17.091294963368526</v>
      </c>
      <c r="C17" s="31">
        <f t="shared" si="1"/>
        <v>15.308072725676446</v>
      </c>
      <c r="D17" s="31">
        <f t="shared" si="1"/>
        <v>13.585353054828271</v>
      </c>
      <c r="E17" s="31">
        <f t="shared" si="1"/>
        <v>11.949332394492362</v>
      </c>
      <c r="F17" s="31">
        <f t="shared" si="1"/>
        <v>10.440846312622236</v>
      </c>
      <c r="G17" s="31">
        <f t="shared" si="1"/>
        <v>9.1233765007002798</v>
      </c>
      <c r="H17" s="31">
        <f t="shared" si="1"/>
        <v>8.0907802975524437</v>
      </c>
      <c r="I17" s="31">
        <f t="shared" si="1"/>
        <v>7.4622686143689263</v>
      </c>
      <c r="J17" s="31">
        <f t="shared" si="1"/>
        <v>7.3423552027076626</v>
      </c>
      <c r="K17" s="31">
        <f t="shared" si="1"/>
        <v>7.7546700105459649</v>
      </c>
    </row>
    <row r="18" spans="1:11">
      <c r="A18" s="28">
        <v>20</v>
      </c>
      <c r="B18" s="31">
        <f t="shared" si="1"/>
        <v>19.090787875158426</v>
      </c>
      <c r="C18" s="31">
        <f t="shared" si="1"/>
        <v>17.302443326966511</v>
      </c>
      <c r="D18" s="31">
        <f t="shared" si="1"/>
        <v>15.565696530238531</v>
      </c>
      <c r="E18" s="31">
        <f t="shared" si="1"/>
        <v>13.899901865123788</v>
      </c>
      <c r="F18" s="31">
        <f t="shared" si="1"/>
        <v>12.333841058188794</v>
      </c>
      <c r="G18" s="31">
        <f t="shared" si="1"/>
        <v>10.910545295137894</v>
      </c>
      <c r="H18" s="31">
        <f t="shared" si="1"/>
        <v>9.6931089969032929</v>
      </c>
      <c r="I18" s="31">
        <f t="shared" si="1"/>
        <v>8.7677092455463832</v>
      </c>
      <c r="J18" s="31">
        <f t="shared" si="1"/>
        <v>8.2334129498666222</v>
      </c>
      <c r="K18" s="31">
        <f t="shared" si="1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G8" sqref="G8"/>
    </sheetView>
  </sheetViews>
  <sheetFormatPr defaultColWidth="8.85546875" defaultRowHeight="18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>
      <c r="A1" s="35" t="s">
        <v>9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/>
    <row r="3" spans="1:22">
      <c r="A3" s="40" t="s">
        <v>10</v>
      </c>
      <c r="B3" s="41"/>
      <c r="C3" s="42"/>
      <c r="D3" s="40" t="s">
        <v>11</v>
      </c>
      <c r="E3" s="41"/>
      <c r="F3" s="42"/>
      <c r="G3" s="16" t="s">
        <v>12</v>
      </c>
    </row>
    <row r="4" spans="1:22">
      <c r="A4" s="17" t="s">
        <v>13</v>
      </c>
      <c r="B4" s="18" t="s">
        <v>14</v>
      </c>
      <c r="C4" s="19" t="s">
        <v>15</v>
      </c>
      <c r="D4" s="17" t="s">
        <v>16</v>
      </c>
      <c r="E4" s="18" t="s">
        <v>17</v>
      </c>
      <c r="F4" s="19" t="s">
        <v>18</v>
      </c>
      <c r="G4" s="20" t="s">
        <v>19</v>
      </c>
    </row>
    <row r="5" spans="1:22">
      <c r="A5" s="8">
        <v>3</v>
      </c>
      <c r="B5" s="8">
        <v>4</v>
      </c>
      <c r="C5" s="8">
        <v>5</v>
      </c>
      <c r="D5" s="22" t="str">
        <f t="shared" ref="D5:D7" si="0">IF(A5+B5&gt;C6,"pareizi", "nepareizi")</f>
        <v>pareizi</v>
      </c>
      <c r="E5" s="22" t="str">
        <f>IF(A5+C5&gt;B5,"pareizi", "nepareizi")</f>
        <v>pareizi</v>
      </c>
      <c r="F5" s="22" t="str">
        <f>IF(B5+C5&gt;A5,"pareizi", "nepareizi")</f>
        <v>pareizi</v>
      </c>
      <c r="G5" s="23" t="str">
        <f>IF(AND(E5="pareizi",D5="pareizi", F5="pareizi"),"jā","nē")</f>
        <v>jā</v>
      </c>
    </row>
    <row r="6" spans="1:22">
      <c r="A6" s="8">
        <v>4</v>
      </c>
      <c r="B6" s="8">
        <v>2</v>
      </c>
      <c r="C6" s="8">
        <v>2</v>
      </c>
      <c r="D6" s="22" t="str">
        <f t="shared" si="0"/>
        <v>pareizi</v>
      </c>
      <c r="E6" s="22" t="str">
        <f t="shared" ref="E6:E8" si="1">IF(A6+C6&gt;B6,"pareizi", "nepareizi")</f>
        <v>pareizi</v>
      </c>
      <c r="F6" s="22" t="str">
        <f t="shared" ref="F6:F8" si="2">IF(B6+C6&gt;A6,"pareizi", "nepareizi")</f>
        <v>nepareizi</v>
      </c>
      <c r="G6" s="23" t="str">
        <f t="shared" ref="G6:G8" si="3">IF(AND(E6="pareizi",D6="pareizi", F6="pareizi"),"jā","nē")</f>
        <v>nē</v>
      </c>
    </row>
    <row r="7" spans="1:22">
      <c r="A7" s="8">
        <v>1</v>
      </c>
      <c r="B7" s="8">
        <v>2</v>
      </c>
      <c r="C7" s="8">
        <v>3</v>
      </c>
      <c r="D7" s="22" t="str">
        <f t="shared" si="0"/>
        <v>nepareizi</v>
      </c>
      <c r="E7" s="22" t="str">
        <f t="shared" si="1"/>
        <v>pareizi</v>
      </c>
      <c r="F7" s="22" t="str">
        <f t="shared" si="2"/>
        <v>pareizi</v>
      </c>
      <c r="G7" s="23" t="str">
        <f t="shared" si="3"/>
        <v>nē</v>
      </c>
    </row>
    <row r="8" spans="1:22">
      <c r="A8" s="8">
        <v>20</v>
      </c>
      <c r="B8" s="8">
        <v>14</v>
      </c>
      <c r="C8" s="8">
        <v>12</v>
      </c>
      <c r="D8" s="22" t="str">
        <f>IF(A8+B8&gt;C9,"pareizi", "nepareizi")</f>
        <v>pareizi</v>
      </c>
      <c r="E8" s="22" t="str">
        <f t="shared" si="1"/>
        <v>pareizi</v>
      </c>
      <c r="F8" s="22" t="str">
        <f t="shared" si="2"/>
        <v>pareizi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F7" sqref="F7"/>
    </sheetView>
  </sheetViews>
  <sheetFormatPr defaultRowHeight="18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>
      <c r="A1" s="35" t="s">
        <v>20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/>
    <row r="3" spans="1:22" s="11" customFormat="1" ht="49.15" customHeight="1">
      <c r="A3" s="10" t="s">
        <v>21</v>
      </c>
      <c r="B3" s="10" t="s">
        <v>22</v>
      </c>
      <c r="C3" s="10" t="s">
        <v>23</v>
      </c>
      <c r="D3" s="10" t="s">
        <v>24</v>
      </c>
      <c r="E3" s="10" t="s">
        <v>25</v>
      </c>
    </row>
    <row r="4" spans="1:22">
      <c r="A4" s="12" t="s">
        <v>26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_xlfn.CONCAT(D4,IF(OR(C4="s",C4="š"),,C4),"!")</f>
        <v>Aija!</v>
      </c>
      <c r="K4" s="15"/>
    </row>
    <row r="5" spans="1:22">
      <c r="A5" s="12" t="s">
        <v>27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_xlfn.CONCAT(D5,IF(OR(C5="s",C5="š"),,C5),"!")</f>
        <v>Dace!</v>
      </c>
      <c r="K5" s="15"/>
    </row>
    <row r="6" spans="1:22">
      <c r="A6" s="12" t="s">
        <v>28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Jāni!</v>
      </c>
      <c r="K6" s="15"/>
    </row>
    <row r="7" spans="1:22">
      <c r="A7" s="12" t="s">
        <v>29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Mārtiņ!</v>
      </c>
      <c r="K7" s="15"/>
    </row>
    <row r="8" spans="1:22">
      <c r="A8" s="12" t="s">
        <v>30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Ivo!</v>
      </c>
      <c r="K8" s="15"/>
    </row>
    <row r="9" spans="1:22">
      <c r="A9" s="12" t="s">
        <v>31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Sandi!</v>
      </c>
      <c r="K9" s="15"/>
    </row>
    <row r="10" spans="1:22">
      <c r="A10" s="12" t="s">
        <v>32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Dāvi!</v>
      </c>
      <c r="K10" s="15"/>
    </row>
    <row r="11" spans="1:22">
      <c r="A11" s="12" t="s">
        <v>33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Kārli!</v>
      </c>
      <c r="K11" s="15"/>
    </row>
    <row r="12" spans="1:22">
      <c r="A12" s="12" t="s">
        <v>34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Markus!</v>
      </c>
      <c r="K12" s="15"/>
    </row>
    <row r="13" spans="1:22">
      <c r="A13" s="12" t="s">
        <v>35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Mārci!</v>
      </c>
      <c r="K13" s="15"/>
    </row>
    <row r="14" spans="1:22">
      <c r="A14" s="12" t="s">
        <v>36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Miku!</v>
      </c>
    </row>
    <row r="15" spans="1:22">
      <c r="A15" s="12" t="s">
        <v>37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Klāv!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topLeftCell="A6" workbookViewId="0">
      <selection activeCell="C7" sqref="C7"/>
    </sheetView>
  </sheetViews>
  <sheetFormatPr defaultColWidth="8.85546875" defaultRowHeight="18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>
      <c r="A1" s="35" t="s">
        <v>38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/>
    <row r="3" spans="1:22" ht="34.15" customHeight="1">
      <c r="A3" s="5" t="s">
        <v>39</v>
      </c>
      <c r="B3" s="5" t="s">
        <v>40</v>
      </c>
    </row>
    <row r="4" spans="1:22">
      <c r="A4" s="7">
        <v>25</v>
      </c>
      <c r="B4" s="23" t="str">
        <f>_xlfn.CONCAT("cent",IF(A4=1, "s", "i"))</f>
        <v>centi</v>
      </c>
    </row>
    <row r="5" spans="1:22">
      <c r="A5" s="8">
        <v>1</v>
      </c>
      <c r="B5" s="23" t="str">
        <f t="shared" ref="B5:B13" si="0">_xlfn.CONCAT("cent",IF(A5=1, "s", "i"))</f>
        <v>cents</v>
      </c>
    </row>
    <row r="6" spans="1:22">
      <c r="A6" s="8">
        <v>2</v>
      </c>
      <c r="B6" s="23" t="str">
        <f t="shared" si="0"/>
        <v>centi</v>
      </c>
    </row>
    <row r="7" spans="1:22">
      <c r="A7" s="8">
        <v>9</v>
      </c>
      <c r="B7" s="23" t="str">
        <f t="shared" si="0"/>
        <v>centi</v>
      </c>
    </row>
    <row r="8" spans="1:22">
      <c r="A8" s="8">
        <v>10</v>
      </c>
      <c r="B8" s="23" t="str">
        <f t="shared" si="0"/>
        <v>centi</v>
      </c>
    </row>
    <row r="9" spans="1:22">
      <c r="A9" s="8">
        <v>11</v>
      </c>
      <c r="B9" s="23" t="str">
        <f t="shared" si="0"/>
        <v>centi</v>
      </c>
    </row>
    <row r="10" spans="1:22">
      <c r="A10" s="8">
        <v>12</v>
      </c>
      <c r="B10" s="23" t="str">
        <f t="shared" si="0"/>
        <v>centi</v>
      </c>
    </row>
    <row r="11" spans="1:22">
      <c r="A11" s="8">
        <v>21</v>
      </c>
      <c r="B11" s="23" t="str">
        <f t="shared" si="0"/>
        <v>centi</v>
      </c>
    </row>
    <row r="12" spans="1:22">
      <c r="A12" s="8">
        <v>99</v>
      </c>
      <c r="B12" s="23" t="str">
        <f t="shared" si="0"/>
        <v>centi</v>
      </c>
    </row>
    <row r="13" spans="1:22">
      <c r="A13" s="8">
        <v>91</v>
      </c>
      <c r="B13" s="23" t="str">
        <f t="shared" si="0"/>
        <v>centi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tabSelected="1" topLeftCell="A7" workbookViewId="0">
      <selection activeCell="F9" sqref="F9"/>
    </sheetView>
  </sheetViews>
  <sheetFormatPr defaultRowHeight="15"/>
  <cols>
    <col min="1" max="1" width="26.85546875" customWidth="1"/>
  </cols>
  <sheetData>
    <row r="1" spans="1:8" ht="18" customHeight="1">
      <c r="A1" s="33" t="s">
        <v>3</v>
      </c>
      <c r="B1" s="33"/>
      <c r="C1" s="33"/>
      <c r="D1" s="33"/>
    </row>
    <row r="2" spans="1:8" ht="18" customHeight="1">
      <c r="A2" s="34" t="s">
        <v>15</v>
      </c>
      <c r="B2" s="33">
        <v>10</v>
      </c>
      <c r="C2" s="33"/>
      <c r="D2" s="33"/>
    </row>
    <row r="3" spans="1:8" ht="18" customHeight="1">
      <c r="A3" s="43" t="s">
        <v>41</v>
      </c>
      <c r="B3" s="43"/>
      <c r="C3" s="43"/>
      <c r="D3" s="43"/>
      <c r="E3" s="43"/>
      <c r="F3" s="43"/>
      <c r="G3" s="43"/>
      <c r="H3" s="43"/>
    </row>
    <row r="4" spans="1:8" ht="18" customHeight="1"/>
    <row r="5" spans="1:8" ht="18" customHeight="1"/>
    <row r="6" spans="1:8" ht="18" customHeight="1" thickBot="1">
      <c r="A6" s="32" t="s">
        <v>42</v>
      </c>
      <c r="B6" s="32"/>
      <c r="C6" s="32"/>
      <c r="D6" s="32"/>
      <c r="E6" s="32"/>
      <c r="F6" s="32"/>
      <c r="G6" s="32"/>
      <c r="H6" s="32"/>
    </row>
    <row r="7" spans="1:8" ht="18" customHeight="1" thickTop="1">
      <c r="A7" s="33" t="s">
        <v>43</v>
      </c>
      <c r="F7" s="46">
        <f>SUM(F16-F15)</f>
        <v>2000.0000000000005</v>
      </c>
    </row>
    <row r="8" spans="1:8" ht="18" customHeight="1">
      <c r="A8" s="44" t="s">
        <v>44</v>
      </c>
      <c r="B8" s="44"/>
      <c r="C8" s="44"/>
      <c r="F8" s="46">
        <f>SUM(F12*B2*2+F12^2/2*2-F11^2/2*2+F11*B2*2+B2^2*2)</f>
        <v>1165.685424949238</v>
      </c>
    </row>
    <row r="9" spans="1:8" ht="18" customHeight="1"/>
    <row r="10" spans="1:8" ht="18" customHeight="1">
      <c r="A10" s="44" t="s">
        <v>45</v>
      </c>
      <c r="B10" s="44"/>
      <c r="C10" s="44"/>
    </row>
    <row r="11" spans="1:8" ht="18" customHeight="1">
      <c r="A11" s="44" t="s">
        <v>46</v>
      </c>
      <c r="B11" s="44"/>
      <c r="C11" s="44"/>
      <c r="F11" s="31">
        <f>SQRT(B2^2/2)</f>
        <v>7.0710678118654755</v>
      </c>
    </row>
    <row r="12" spans="1:8" ht="18" customHeight="1">
      <c r="A12" s="44" t="s">
        <v>47</v>
      </c>
      <c r="B12" s="44"/>
      <c r="C12" s="44"/>
      <c r="F12" s="31">
        <f>SQRT((3*B2)^2/2)</f>
        <v>21.213203435596427</v>
      </c>
    </row>
    <row r="13" spans="1:8" ht="18" customHeight="1">
      <c r="A13" s="44" t="s">
        <v>48</v>
      </c>
      <c r="B13" s="44"/>
      <c r="C13" s="44"/>
      <c r="F13" s="31">
        <f>SUM(F11^2/2)</f>
        <v>25.000000000000004</v>
      </c>
    </row>
    <row r="14" spans="1:8" ht="18" customHeight="1">
      <c r="A14" s="44" t="s">
        <v>49</v>
      </c>
      <c r="B14" s="44"/>
      <c r="C14" s="44"/>
      <c r="F14" s="31">
        <f>SUM(F12^2/2)</f>
        <v>225.00000000000003</v>
      </c>
    </row>
    <row r="15" spans="1:8" ht="18" customHeight="1">
      <c r="A15" s="44" t="s">
        <v>50</v>
      </c>
      <c r="B15" s="44"/>
      <c r="C15" s="44"/>
      <c r="D15" s="44"/>
      <c r="E15" s="45"/>
      <c r="F15" s="46">
        <f>SUM(F13*B2)</f>
        <v>250.00000000000003</v>
      </c>
    </row>
    <row r="16" spans="1:8" ht="18" customHeight="1">
      <c r="A16" s="44" t="s">
        <v>51</v>
      </c>
      <c r="B16" s="44"/>
      <c r="C16" s="44"/>
      <c r="F16" s="46">
        <f>SUM(F14*B2)</f>
        <v>2250.0000000000005</v>
      </c>
    </row>
    <row r="19" spans="1:3" ht="19.5">
      <c r="A19" s="44"/>
      <c r="B19" s="44"/>
      <c r="C19" s="44"/>
    </row>
  </sheetData>
  <mergeCells count="10">
    <mergeCell ref="A13:C13"/>
    <mergeCell ref="A14:C14"/>
    <mergeCell ref="A16:C16"/>
    <mergeCell ref="A19:C19"/>
    <mergeCell ref="A15:E15"/>
    <mergeCell ref="A3:H3"/>
    <mergeCell ref="A8:C8"/>
    <mergeCell ref="A10:C10"/>
    <mergeCell ref="A11:C11"/>
    <mergeCell ref="A12:C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FE6B15-34C2-46CF-959E-35A7C7B9C8CD}"/>
</file>

<file path=customXml/itemProps2.xml><?xml version="1.0" encoding="utf-8"?>
<ds:datastoreItem xmlns:ds="http://schemas.openxmlformats.org/officeDocument/2006/customXml" ds:itemID="{4015E412-7C08-4728-B3DD-E364A876683D}"/>
</file>

<file path=customXml/itemProps3.xml><?xml version="1.0" encoding="utf-8"?>
<ds:datastoreItem xmlns:ds="http://schemas.openxmlformats.org/officeDocument/2006/customXml" ds:itemID="{9C4D65F9-99B7-4944-A8E8-16BD4B7932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aija_</dc:creator>
  <cp:keywords/>
  <dc:description/>
  <cp:lastModifiedBy/>
  <cp:revision/>
  <dcterms:created xsi:type="dcterms:W3CDTF">2021-10-27T13:59:32Z</dcterms:created>
  <dcterms:modified xsi:type="dcterms:W3CDTF">2025-12-14T23:31:23Z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